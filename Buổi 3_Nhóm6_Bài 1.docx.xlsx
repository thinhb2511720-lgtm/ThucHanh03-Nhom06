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8EA0F96A-EE3E-424C-BA8A-12593AD0C4A9}" xr6:coauthVersionLast="47" xr6:coauthVersionMax="47" xr10:uidLastSave="{00000000-0000-0000-0000-000000000000}"/>
  <bookViews>
    <workbookView xWindow="-108" yWindow="-108" windowWidth="23256" windowHeight="12456" firstSheet="1" activeTab="4" xr2:uid="{43AACDD0-E286-4FC6-A155-5235717FC016}"/>
  </bookViews>
  <sheets>
    <sheet name="Tổng hợp điểm" sheetId="1" r:id="rId1"/>
    <sheet name="ĐIểm thực hành các buổi" sheetId="2" r:id="rId2"/>
    <sheet name="Điểm bài tập lớn" sheetId="3" r:id="rId3"/>
    <sheet name="Điểm lý thuyết" sheetId="4" r:id="rId4"/>
    <sheet name="Các bảng tham chiếu &amp; Thống kê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5" l="1"/>
  <c r="F27" i="5"/>
  <c r="E32" i="5"/>
  <c r="I19" i="1"/>
  <c r="D7" i="1"/>
  <c r="D8" i="1"/>
  <c r="H8" i="1"/>
  <c r="H9" i="1"/>
  <c r="H10" i="1"/>
  <c r="H11" i="1"/>
  <c r="H12" i="1"/>
  <c r="H13" i="1"/>
  <c r="H14" i="1"/>
  <c r="H15" i="1"/>
  <c r="H16" i="1"/>
  <c r="H17" i="1"/>
  <c r="I17" i="1" s="1"/>
  <c r="H18" i="1"/>
  <c r="H19" i="1"/>
  <c r="H20" i="1"/>
  <c r="H7" i="1"/>
  <c r="G8" i="1"/>
  <c r="G9" i="1"/>
  <c r="G10" i="1"/>
  <c r="G11" i="1"/>
  <c r="G12" i="1"/>
  <c r="I12" i="1" s="1"/>
  <c r="J12" i="1" s="1"/>
  <c r="K12" i="1" s="1"/>
  <c r="G13" i="1"/>
  <c r="I13" i="1" s="1"/>
  <c r="J13" i="1" s="1"/>
  <c r="K13" i="1" s="1"/>
  <c r="G14" i="1"/>
  <c r="J14" i="1" s="1"/>
  <c r="K14" i="1" s="1"/>
  <c r="G15" i="1"/>
  <c r="G16" i="1"/>
  <c r="G17" i="1"/>
  <c r="J17" i="1" s="1"/>
  <c r="K17" i="1" s="1"/>
  <c r="G18" i="1"/>
  <c r="G19" i="1"/>
  <c r="J19" i="1" s="1"/>
  <c r="K19" i="1" s="1"/>
  <c r="G20" i="1"/>
  <c r="G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7" i="1"/>
  <c r="E20" i="1"/>
  <c r="E8" i="1"/>
  <c r="E9" i="1"/>
  <c r="E10" i="1"/>
  <c r="E11" i="1"/>
  <c r="E12" i="1"/>
  <c r="E13" i="1"/>
  <c r="E14" i="1"/>
  <c r="E15" i="1"/>
  <c r="E16" i="1"/>
  <c r="E17" i="1"/>
  <c r="E18" i="1"/>
  <c r="E19" i="1"/>
  <c r="E7" i="1"/>
  <c r="D9" i="1"/>
  <c r="D10" i="1"/>
  <c r="D12" i="1"/>
  <c r="D13" i="1"/>
  <c r="D14" i="1"/>
  <c r="D15" i="1"/>
  <c r="D16" i="1"/>
  <c r="D17" i="1"/>
  <c r="D18" i="1"/>
  <c r="D19" i="1"/>
  <c r="D20" i="1"/>
  <c r="I15" i="1" l="1"/>
  <c r="J15" i="1" s="1"/>
  <c r="K15" i="1" s="1"/>
  <c r="I16" i="1"/>
  <c r="J16" i="1" s="1"/>
  <c r="K16" i="1" s="1"/>
  <c r="I7" i="1"/>
  <c r="J7" i="1" s="1"/>
  <c r="E37" i="5" s="1"/>
  <c r="I9" i="1"/>
  <c r="I20" i="1"/>
  <c r="J20" i="1" s="1"/>
  <c r="K20" i="1" s="1"/>
  <c r="I18" i="1"/>
  <c r="J18" i="1" s="1"/>
  <c r="K18" i="1" s="1"/>
  <c r="I14" i="1"/>
  <c r="I10" i="1"/>
  <c r="J10" i="1" s="1"/>
  <c r="K10" i="1" s="1"/>
  <c r="I8" i="1"/>
  <c r="J8" i="1" s="1"/>
  <c r="K8" i="1" s="1"/>
  <c r="J9" i="1"/>
  <c r="K9" i="1" s="1"/>
  <c r="K7" i="1" l="1"/>
  <c r="E35" i="5"/>
  <c r="F20" i="5"/>
  <c r="D7" i="2"/>
  <c r="D11" i="1"/>
  <c r="I11" i="1"/>
  <c r="J11" i="1"/>
  <c r="K11" i="1"/>
  <c r="F14" i="5"/>
</calcChain>
</file>

<file path=xl/sharedStrings.xml><?xml version="1.0" encoding="utf-8"?>
<sst xmlns="http://schemas.openxmlformats.org/spreadsheetml/2006/main" count="216" uniqueCount="100">
  <si>
    <t>=QUERY(Tong_hop!A1:J; "SELECT A, B, C, F WHERE F = 'Information Technology'")</t>
  </si>
  <si>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</si>
  <si>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</si>
  <si>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</si>
  <si>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</si>
  <si>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</si>
  <si>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</si>
  <si>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</si>
  <si>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</si>
  <si>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</si>
  <si>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ki</t>
  </si>
  <si>
    <t>STT</t>
  </si>
  <si>
    <t>Mã sinh viên</t>
  </si>
  <si>
    <t>Họ và tên</t>
  </si>
  <si>
    <t>Điểm
 TH1</t>
  </si>
  <si>
    <t>Điểm
 TH2</t>
  </si>
  <si>
    <t>Điểm
 TH3</t>
  </si>
  <si>
    <t xml:space="preserve">Điểm
BT
lớn
</t>
  </si>
  <si>
    <t>Điểm
LT</t>
  </si>
  <si>
    <t>Điểm tổng</t>
  </si>
  <si>
    <t>Điểm
theo
thang
điểm
10</t>
  </si>
  <si>
    <t>Điểm
chữ</t>
  </si>
  <si>
    <t>0B1505719</t>
  </si>
  <si>
    <t>Nguyễn Văn Hiếu</t>
  </si>
  <si>
    <t>1B1505915</t>
  </si>
  <si>
    <t>Lý Minh Trí</t>
  </si>
  <si>
    <t>0B1505974</t>
  </si>
  <si>
    <t>Nguyễn Kiều Mi</t>
  </si>
  <si>
    <t>0B15059290</t>
  </si>
  <si>
    <t>Đặng Duy Linh</t>
  </si>
  <si>
    <t>2B1605223</t>
  </si>
  <si>
    <t>Lê Thị Trúc Linh</t>
  </si>
  <si>
    <t>0B1605235</t>
  </si>
  <si>
    <t>Phạm Thị Huỳnh</t>
  </si>
  <si>
    <t>0B1605249</t>
  </si>
  <si>
    <t>Lê Minh Thông</t>
  </si>
  <si>
    <t>0B1605285</t>
  </si>
  <si>
    <t>Huỳnh Thị Diễm</t>
  </si>
  <si>
    <t>0B1605291</t>
  </si>
  <si>
    <t>Trần Thanh Nguyên</t>
  </si>
  <si>
    <t>1B1605344</t>
  </si>
  <si>
    <t>Nguyễn Thị Đào</t>
  </si>
  <si>
    <t>4B1607025</t>
  </si>
  <si>
    <t>Nguyễn Chí Thanh</t>
  </si>
  <si>
    <t>2B1609795</t>
  </si>
  <si>
    <t>Nguyễn Hải Anh</t>
  </si>
  <si>
    <t>5B1609765</t>
  </si>
  <si>
    <t>Trần Nam Dương</t>
  </si>
  <si>
    <t>0B1609773</t>
  </si>
  <si>
    <t>Nguyễn Duy Khanh</t>
  </si>
  <si>
    <t>Điểm thực hành các buổi</t>
  </si>
  <si>
    <t>Mã SV</t>
  </si>
  <si>
    <t>Họ và Tên</t>
  </si>
  <si>
    <t>Điểm TH1</t>
  </si>
  <si>
    <t>Điểm TH2</t>
  </si>
  <si>
    <t>Điểm TH3</t>
  </si>
  <si>
    <t>B1505719</t>
  </si>
  <si>
    <t>B1505915</t>
  </si>
  <si>
    <t>B1505974</t>
  </si>
  <si>
    <t>B1505929</t>
  </si>
  <si>
    <t>B1605223</t>
  </si>
  <si>
    <t>B1605235</t>
  </si>
  <si>
    <t>B1605249</t>
  </si>
  <si>
    <t>B1605285</t>
  </si>
  <si>
    <t>B1605291</t>
  </si>
  <si>
    <t>B1605344</t>
  </si>
  <si>
    <t>B1607025</t>
  </si>
  <si>
    <t>B1609795</t>
  </si>
  <si>
    <t>B1609765</t>
  </si>
  <si>
    <t>B1609773</t>
  </si>
  <si>
    <t>Điểm bài tập lớn</t>
  </si>
  <si>
    <t>Điểm BT lớn</t>
  </si>
  <si>
    <t>B1509874</t>
  </si>
  <si>
    <t>B1509929</t>
  </si>
  <si>
    <t>B1609759</t>
  </si>
  <si>
    <t>Điểm lý thuyết</t>
  </si>
  <si>
    <t>Nguyễn Phước Hiếu</t>
  </si>
  <si>
    <t>Bảng qui đổi điểm</t>
  </si>
  <si>
    <t>Bảng Điểm Chuyên Cần</t>
  </si>
  <si>
    <t>Điểm theo thang điểm 10</t>
  </si>
  <si>
    <t>Điểm chữ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</si>
  <si>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</si>
  <si>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</si>
  <si>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</si>
  <si>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</si>
  <si>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</si>
  <si>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</si>
  <si>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</si>
  <si>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</si>
  <si>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</si>
  <si>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</si>
  <si>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</si>
  <si>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Danh sách sinh viên</t>
  </si>
  <si>
    <t>Bảng thống kê theo điểm chữ</t>
  </si>
  <si>
    <t>Số lượng sinh viên</t>
  </si>
  <si>
    <t>Bảng thống kê SV</t>
  </si>
  <si>
    <t>Số sinh viên điểm BT lớn = 0 hoặc điểm LT = -3</t>
  </si>
  <si>
    <t>Số SV nghỉ TH &gt; 2</t>
  </si>
  <si>
    <t>Sinh viên có điểm trên thang điểm 10 &gt;= 7</t>
  </si>
  <si>
    <t>Sinh viên có điểm trên thang điểm 10 &lt;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</si>
</sst>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b/>
      <sz val="11"/>
      <color theme="3" tint="0.249977111117893"/>
      <name val="Aptos Narrow"/>
      <family val="2"/>
      <charset val="163"/>
      <scheme val="minor"/>
    </font>
    <font>
      <sz val="11"/>
      <color theme="3" tint="0.249977111117893"/>
      <name val="Aptos Narrow"/>
      <family val="2"/>
      <charset val="163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6" borderId="1" xfId="0" applyFill="1" applyBorder="1" applyAlignment="1">
      <alignment vertical="top" textRotation="255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0" fillId="0" borderId="3" xfId="0" applyBorder="1"/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right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/>
    </xf>
    <xf numFmtId="0" fontId="0" fillId="0" borderId="1" xfId="0" applyNumberFormat="1" applyBorder="1" applyAlignment="1">
      <alignment horizontal="right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'Các bảng tham chiếu &amp; Thống kê'!$F$12:$F$13</c:f>
              <c:strCache>
                <c:ptCount val="2"/>
                <c:pt idx="0">
                  <c:v>Bảng thống kê theo điểm chữ</c:v>
                </c:pt>
                <c:pt idx="1">
                  <c:v>Số lượng sinh viên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C-40F6-93B3-41D2AB100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373380</xdr:colOff>
      <xdr:row>5</xdr:row>
      <xdr:rowOff>171450</xdr:rowOff>
    </xdr:from>
    <xdr:to>
      <xdr:col>14</xdr:col>
      <xdr:colOff>68580</xdr:colOff>
      <xdr:row>20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A27AAF-D42B-C81E-18BB-8F09F9F64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C41B1-1C73-451B-88A9-5FF69ABAC203}">
  <dimension ref="A1:K20"/>
  <sheetViews>
    <sheetView zoomScaleNormal="100" workbookViewId="0">
      <pane xSplit="3" ySplit="6" topLeftCell="D14" activePane="bottomRight" state="frozen"/>
      <selection pane="topRight" activeCell="D1" sqref="D1"/>
      <selection pane="bottomLeft" activeCell="A7" sqref="A7"/>
      <selection pane="bottomRight" activeCell="K15" sqref="K15"/>
    </sheetView>
  </sheetViews>
  <sheetFormatPr defaultRowHeight="14.4" x14ac:dyDescent="0.3"/>
  <cols>
    <col min="1" max="1" width="5.109375" customWidth="1"/>
    <col min="2" max="2" width="11.109375" customWidth="1"/>
  </cols>
  <sheetData>
    <row r="1" spans="1:11" x14ac:dyDescent="0.3">
      <c r="A1" s="6" t="s">
        <v>0</v>
      </c>
      <c r="B1" s="29" t="s">
        <v>1</v>
      </c>
      <c r="C1" s="29"/>
      <c r="D1" s="29"/>
      <c r="E1" s="29"/>
      <c r="F1" s="29"/>
      <c r="G1" s="29"/>
      <c r="H1" s="29"/>
      <c r="I1" s="6"/>
      <c r="J1" s="6"/>
      <c r="K1" s="6"/>
    </row>
    <row r="2" spans="1:11" x14ac:dyDescent="0.3">
      <c r="A2" s="6"/>
      <c r="B2" s="6" t="s">
        <v>2</v>
      </c>
      <c r="C2" s="26">
        <v>1043</v>
      </c>
      <c r="D2" s="30" t="s">
        <v>3</v>
      </c>
      <c r="E2" s="30"/>
      <c r="F2" s="31" t="s">
        <v>4</v>
      </c>
      <c r="G2" s="31"/>
      <c r="H2" s="31"/>
      <c r="I2" s="31"/>
      <c r="J2" s="31"/>
      <c r="K2" s="6"/>
    </row>
    <row r="3" spans="1:11" x14ac:dyDescent="0.3">
      <c r="A3" s="6"/>
      <c r="B3" s="6" t="s">
        <v>5</v>
      </c>
      <c r="C3" s="6" t="s">
        <v>6</v>
      </c>
      <c r="D3" s="30" t="s">
        <v>7</v>
      </c>
      <c r="E3" s="30"/>
      <c r="F3" s="30">
        <v>8</v>
      </c>
      <c r="G3" s="30"/>
      <c r="H3" s="30"/>
      <c r="I3" s="6"/>
      <c r="J3" s="6"/>
      <c r="K3" s="6"/>
    </row>
    <row r="4" spans="1:11" x14ac:dyDescent="0.3">
      <c r="A4" s="6"/>
      <c r="B4" s="6" t="s">
        <v>8</v>
      </c>
      <c r="C4" s="6" t="s">
        <v>9</v>
      </c>
      <c r="D4" s="30" t="s">
        <v>10</v>
      </c>
      <c r="E4" s="30"/>
      <c r="F4" s="30">
        <v>1</v>
      </c>
      <c r="G4" s="30"/>
      <c r="H4" s="30"/>
      <c r="I4" s="6"/>
      <c r="J4" s="6"/>
      <c r="K4" s="6"/>
    </row>
    <row r="5" spans="1:1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ht="70.2" customHeight="1" x14ac:dyDescent="0.3">
      <c r="A6" s="16" t="s">
        <v>11</v>
      </c>
      <c r="B6" s="17" t="s">
        <v>12</v>
      </c>
      <c r="C6" s="17" t="s">
        <v>13</v>
      </c>
      <c r="D6" s="18" t="s">
        <v>14</v>
      </c>
      <c r="E6" s="18" t="s">
        <v>15</v>
      </c>
      <c r="F6" s="18" t="s">
        <v>16</v>
      </c>
      <c r="G6" s="18" t="s">
        <v>17</v>
      </c>
      <c r="H6" s="18" t="s">
        <v>18</v>
      </c>
      <c r="I6" s="18" t="s">
        <v>19</v>
      </c>
      <c r="J6" s="19" t="s">
        <v>20</v>
      </c>
      <c r="K6" s="19" t="s">
        <v>21</v>
      </c>
    </row>
    <row r="7" spans="1:11" ht="39.75" customHeight="1" x14ac:dyDescent="0.3">
      <c r="A7" s="1">
        <v>1</v>
      </c>
      <c r="B7" s="1" t="s">
        <v>22</v>
      </c>
      <c r="C7" s="1" t="s">
        <v>23</v>
      </c>
      <c r="D7" s="5">
        <f>VLOOKUP(VALUE(RIGHT(A7,8)), 'ĐIểm thực hành các buổi'!$A$2:$E$100, 4, 0)</f>
        <v>0.45</v>
      </c>
      <c r="E7" s="5">
        <f>VLOOKUP(VALUE(RIGHT(A7,8)), 'ĐIểm thực hành các buổi'!$A$2:$E$100, 5, 0)</f>
        <v>0.25</v>
      </c>
      <c r="F7" s="5">
        <f>VLOOKUP(VALUE(RIGHT(A7,8)), 'ĐIểm thực hành các buổi'!$A$2:$F$100, 6, 0)</f>
        <v>0.3</v>
      </c>
      <c r="G7" s="5">
        <f>VLOOKUP(VALUE(RIGHT(A7,8)), 'Điểm bài tập lớn'!$A$2:$D$100, 4, 0)</f>
        <v>0.5</v>
      </c>
      <c r="H7" s="5">
        <f>VLOOKUP(VALUE(RIGHT(A7,8)), 'Điểm lý thuyết'!$A$2:$D$100, 4, 0)</f>
        <v>4.2</v>
      </c>
      <c r="I7" s="1">
        <f>IF(H7=-3,0,ROUND(D7+E7+F7+G7+H7*0.6,1))</f>
        <v>4</v>
      </c>
      <c r="J7" s="1">
        <f>ROUND(IF(OR(G7=0,VALUE(LEFT(B7,1))&gt;2),0,I7+VLOOKUP(VALUE(LEFT(B7,1)),'Các bảng tham chiếu &amp; Thống kê'!$E$2:$F$5,2,0)),1)</f>
        <v>5</v>
      </c>
      <c r="K7" s="25" t="str">
        <f>VLOOKUP(J7,'Các bảng tham chiếu &amp; Thống kê'!$A$3:$C$10,2,1)</f>
        <v>D+</v>
      </c>
    </row>
    <row r="8" spans="1:11" ht="28.8" x14ac:dyDescent="0.3">
      <c r="A8" s="1">
        <v>2</v>
      </c>
      <c r="B8" s="1" t="s">
        <v>24</v>
      </c>
      <c r="C8" s="1" t="s">
        <v>25</v>
      </c>
      <c r="D8" s="5">
        <f>VLOOKUP(VALUE(RIGHT(A8,8)), 'ĐIểm thực hành các buổi'!$A$2:$E$100, 4, 0)</f>
        <v>0.5</v>
      </c>
      <c r="E8" s="5">
        <f>VLOOKUP(VALUE(RIGHT(A8,8)), 'ĐIểm thực hành các buổi'!$A$2:$E$100, 5, 0)</f>
        <v>0.35</v>
      </c>
      <c r="F8" s="5">
        <f>VLOOKUP(VALUE(RIGHT(A8,8)), 'ĐIểm thực hành các buổi'!$A$2:$F$100, 6, 0)</f>
        <v>0.4</v>
      </c>
      <c r="G8" s="5">
        <f>VLOOKUP(VALUE(RIGHT(A8,8)), 'Điểm bài tập lớn'!$A$2:$D$100, 4, 0)</f>
        <v>1</v>
      </c>
      <c r="H8" s="5">
        <f>VLOOKUP(VALUE(RIGHT(A8,8)), 'Điểm lý thuyết'!$A$2:$D$100, 4, 0)</f>
        <v>5.8</v>
      </c>
      <c r="I8" s="1">
        <f t="shared" ref="I8:I20" si="0">IF(H8=-3,0,ROUND(D8+E8+F8+G8+H8*0.6,1))</f>
        <v>5.7</v>
      </c>
      <c r="J8" s="1">
        <f>ROUND(IF(OR(G8=0,VALUE(LEFT(B8,1))&gt;2),0,I8+VLOOKUP(VALUE(LEFT(B8,1)),'Các bảng tham chiếu &amp; Thống kê'!$E$2:$F$5,2,0)),1)</f>
        <v>6.2</v>
      </c>
      <c r="K8" s="25" t="str">
        <f>VLOOKUP(J8,'Các bảng tham chiếu &amp; Thống kê'!$A$3:$C$10,2,1)</f>
        <v>C</v>
      </c>
    </row>
    <row r="9" spans="1:11" ht="28.8" x14ac:dyDescent="0.3">
      <c r="A9" s="1">
        <v>3</v>
      </c>
      <c r="B9" s="1" t="s">
        <v>26</v>
      </c>
      <c r="C9" s="1" t="s">
        <v>27</v>
      </c>
      <c r="D9" s="5">
        <f>VLOOKUP(VALUE(RIGHT(A9,8)), 'ĐIểm thực hành các buổi'!$A$2:$E$100, 4, 0)</f>
        <v>0.25</v>
      </c>
      <c r="E9" s="5">
        <f>VLOOKUP(VALUE(RIGHT(A9,8)), 'ĐIểm thực hành các buổi'!$A$2:$E$100, 5, 0)</f>
        <v>0.25</v>
      </c>
      <c r="F9" s="5">
        <f>VLOOKUP(VALUE(RIGHT(A9,8)), 'ĐIểm thực hành các buổi'!$A$2:$F$100, 6, 0)</f>
        <v>0.3</v>
      </c>
      <c r="G9" s="5">
        <f>VLOOKUP(VALUE(RIGHT(A9,8)), 'Điểm bài tập lớn'!$A$2:$D$100, 4, 0)</f>
        <v>0.5</v>
      </c>
      <c r="H9" s="5">
        <f>VLOOKUP(VALUE(RIGHT(A9,8)), 'Điểm lý thuyết'!$A$2:$D$100, 4, 0)</f>
        <v>5.8</v>
      </c>
      <c r="I9" s="1">
        <f t="shared" si="0"/>
        <v>4.8</v>
      </c>
      <c r="J9" s="1">
        <f>ROUND(IF(OR(G9=0,VALUE(LEFT(B9,1))&gt;2),0,I9+VLOOKUP(VALUE(LEFT(B9,1)),'Các bảng tham chiếu &amp; Thống kê'!$E$2:$F$5,2,0)),1)</f>
        <v>5.8</v>
      </c>
      <c r="K9" s="25" t="str">
        <f>VLOOKUP(J9,'Các bảng tham chiếu &amp; Thống kê'!$A$3:$C$10,2,1)</f>
        <v>C</v>
      </c>
    </row>
    <row r="10" spans="1:11" ht="28.8" x14ac:dyDescent="0.3">
      <c r="A10" s="1">
        <v>4</v>
      </c>
      <c r="B10" s="1" t="s">
        <v>28</v>
      </c>
      <c r="C10" s="1" t="s">
        <v>29</v>
      </c>
      <c r="D10" s="5">
        <f>VLOOKUP(VALUE(RIGHT(A10,8)), 'ĐIểm thực hành các buổi'!$A$2:$E$100, 4, 0)</f>
        <v>0.4</v>
      </c>
      <c r="E10" s="5">
        <f>VLOOKUP(VALUE(RIGHT(A10,8)), 'ĐIểm thực hành các buổi'!$A$2:$E$100, 5, 0)</f>
        <v>0.25</v>
      </c>
      <c r="F10" s="5">
        <f>VLOOKUP(VALUE(RIGHT(A10,8)), 'ĐIểm thực hành các buổi'!$A$2:$F$100, 6, 0)</f>
        <v>0.35</v>
      </c>
      <c r="G10" s="5">
        <f>VLOOKUP(VALUE(RIGHT(A10,8)), 'Điểm bài tập lớn'!$A$2:$D$100, 4, 0)</f>
        <v>1</v>
      </c>
      <c r="H10" s="5">
        <f>VLOOKUP(VALUE(RIGHT(A10,8)), 'Điểm lý thuyết'!$A$2:$D$100, 4, 0)</f>
        <v>4.5</v>
      </c>
      <c r="I10" s="1">
        <f t="shared" si="0"/>
        <v>4.7</v>
      </c>
      <c r="J10" s="1">
        <f>ROUND(IF(OR(G10=0,VALUE(LEFT(B10,1))&gt;2),0,I10+VLOOKUP(VALUE(LEFT(B10,1)),'Các bảng tham chiếu &amp; Thống kê'!$E$2:$F$5,2,0)),1)</f>
        <v>5.7</v>
      </c>
      <c r="K10" s="25" t="str">
        <f>VLOOKUP(J10,'Các bảng tham chiếu &amp; Thống kê'!$A$3:$C$10,2,1)</f>
        <v>C</v>
      </c>
    </row>
    <row r="11" spans="1:11" ht="28.8" x14ac:dyDescent="0.3">
      <c r="A11" s="1">
        <v>5</v>
      </c>
      <c r="B11" s="1" t="s">
        <v>30</v>
      </c>
      <c r="C11" s="1" t="s">
        <v>31</v>
      </c>
      <c r="D11" s="5">
        <f ca="1">VLOOKUP(VALUE(RIGHT(A11,8)), 'ĐIểm thực hành các buổi'!$A$2:$E$100, 4, 0)</f>
        <v>0</v>
      </c>
      <c r="E11" s="5">
        <f>VLOOKUP(VALUE(RIGHT(A11,8)), 'ĐIểm thực hành các buổi'!$A$2:$E$100, 5, 0)</f>
        <v>0.4</v>
      </c>
      <c r="F11" s="5">
        <f>VLOOKUP(VALUE(RIGHT(A11,8)), 'ĐIểm thực hành các buổi'!$A$2:$F$100, 6, 0)</f>
        <v>0.35</v>
      </c>
      <c r="G11" s="5">
        <f>VLOOKUP(VALUE(RIGHT(A11,8)), 'Điểm bài tập lớn'!$A$2:$D$100, 4, 0)</f>
        <v>0.75</v>
      </c>
      <c r="H11" s="5">
        <f>VLOOKUP(VALUE(RIGHT(A11,8)), 'Điểm lý thuyết'!$A$2:$D$100, 4, 0)</f>
        <v>5.5</v>
      </c>
      <c r="I11" s="1">
        <f t="shared" ca="1" si="0"/>
        <v>4</v>
      </c>
      <c r="J11" s="1">
        <f ca="1">ROUND(IF(OR(G11=0,VALUE(LEFT(B11,1))&gt;2),0,I11+VLOOKUP(VALUE(LEFT(B11,1)),'Các bảng tham chiếu &amp; Thống kê'!$E$2:$F$5,2,0)),1)</f>
        <v>5</v>
      </c>
      <c r="K11" s="25" t="str">
        <f ca="1">VLOOKUP(J11,'Các bảng tham chiếu &amp; Thống kê'!$A$3:$C$10,2,1)</f>
        <v>D+</v>
      </c>
    </row>
    <row r="12" spans="1:11" ht="28.8" x14ac:dyDescent="0.3">
      <c r="A12" s="1">
        <v>6</v>
      </c>
      <c r="B12" s="1" t="s">
        <v>32</v>
      </c>
      <c r="C12" s="1" t="s">
        <v>33</v>
      </c>
      <c r="D12" s="5">
        <f>VLOOKUP(VALUE(RIGHT(A12,8)), 'ĐIểm thực hành các buổi'!$A$2:$E$100, 4, 0)</f>
        <v>0.4</v>
      </c>
      <c r="E12" s="5">
        <f>VLOOKUP(VALUE(RIGHT(A12,8)), 'ĐIểm thực hành các buổi'!$A$2:$E$100, 5, 0)</f>
        <v>0.45</v>
      </c>
      <c r="F12" s="5">
        <f>VLOOKUP(VALUE(RIGHT(A12,8)), 'ĐIểm thực hành các buổi'!$A$2:$F$100, 6, 0)</f>
        <v>0.5</v>
      </c>
      <c r="G12" s="5">
        <f>VLOOKUP(VALUE(RIGHT(A12,8)), 'Điểm bài tập lớn'!$A$2:$D$100, 4, 0)</f>
        <v>1.2</v>
      </c>
      <c r="H12" s="5">
        <f>VLOOKUP(VALUE(RIGHT(A12,8)), 'Điểm lý thuyết'!$A$2:$D$100, 4, 0)</f>
        <v>7.5</v>
      </c>
      <c r="I12" s="1">
        <f t="shared" si="0"/>
        <v>7.1</v>
      </c>
      <c r="J12" s="1">
        <f>ROUND(IF(OR(G12=0,VALUE(LEFT(B12,1))&gt;2),0,I12+VLOOKUP(VALUE(LEFT(B12,1)),'Các bảng tham chiếu &amp; Thống kê'!$E$2:$F$5,2,0)),1)</f>
        <v>8.1</v>
      </c>
      <c r="K12" s="25" t="str">
        <f>VLOOKUP(J12,'Các bảng tham chiếu &amp; Thống kê'!$A$3:$C$10,2,1)</f>
        <v>B+</v>
      </c>
    </row>
    <row r="13" spans="1:11" ht="28.8" x14ac:dyDescent="0.3">
      <c r="A13" s="1">
        <v>7</v>
      </c>
      <c r="B13" s="1" t="s">
        <v>34</v>
      </c>
      <c r="C13" s="1" t="s">
        <v>35</v>
      </c>
      <c r="D13" s="5">
        <f>VLOOKUP(VALUE(RIGHT(A13,8)), 'ĐIểm thực hành các buổi'!$A$2:$E$100, 4, 0)</f>
        <v>0.4</v>
      </c>
      <c r="E13" s="5">
        <f>VLOOKUP(VALUE(RIGHT(A13,8)), 'ĐIểm thực hành các buổi'!$A$2:$E$100, 5, 0)</f>
        <v>0.4</v>
      </c>
      <c r="F13" s="5">
        <f>VLOOKUP(VALUE(RIGHT(A13,8)), 'ĐIểm thực hành các buổi'!$A$2:$F$100, 6, 0)</f>
        <v>0.4</v>
      </c>
      <c r="G13" s="5">
        <f>VLOOKUP(VALUE(RIGHT(A13,8)), 'Điểm bài tập lớn'!$A$2:$D$100, 4, 0)</f>
        <v>1</v>
      </c>
      <c r="H13" s="5">
        <f>VLOOKUP(VALUE(RIGHT(A13,8)), 'Điểm lý thuyết'!$A$2:$D$100, 4, 0)</f>
        <v>5.3</v>
      </c>
      <c r="I13" s="1">
        <f t="shared" si="0"/>
        <v>5.4</v>
      </c>
      <c r="J13" s="1">
        <f>ROUND(IF(OR(G13=0,VALUE(LEFT(B13,1))&gt;2),0,I13+VLOOKUP(VALUE(LEFT(B13,1)),'Các bảng tham chiếu &amp; Thống kê'!$E$2:$F$5,2,0)),1)</f>
        <v>6.4</v>
      </c>
      <c r="K13" s="25" t="str">
        <f>VLOOKUP(J13,'Các bảng tham chiếu &amp; Thống kê'!$A$3:$C$10,2,1)</f>
        <v>C</v>
      </c>
    </row>
    <row r="14" spans="1:11" ht="28.8" x14ac:dyDescent="0.3">
      <c r="A14" s="1">
        <v>8</v>
      </c>
      <c r="B14" s="1" t="s">
        <v>36</v>
      </c>
      <c r="C14" s="1" t="s">
        <v>37</v>
      </c>
      <c r="D14" s="5">
        <f>VLOOKUP(VALUE(RIGHT(A14,8)), 'ĐIểm thực hành các buổi'!$A$2:$E$100, 4, 0)</f>
        <v>0.45</v>
      </c>
      <c r="E14" s="5">
        <f>VLOOKUP(VALUE(RIGHT(A14,8)), 'ĐIểm thực hành các buổi'!$A$2:$E$100, 5, 0)</f>
        <v>0.4</v>
      </c>
      <c r="F14" s="5">
        <f>VLOOKUP(VALUE(RIGHT(A14,8)), 'ĐIểm thực hành các buổi'!$A$2:$F$100, 6, 0)</f>
        <v>0.45</v>
      </c>
      <c r="G14" s="5">
        <f>VLOOKUP(VALUE(RIGHT(A14,8)), 'Điểm bài tập lớn'!$A$2:$D$100, 4, 0)</f>
        <v>0</v>
      </c>
      <c r="H14" s="5">
        <f>VLOOKUP(VALUE(RIGHT(A14,8)), 'Điểm lý thuyết'!$A$2:$D$100, 4, 0)</f>
        <v>6.8</v>
      </c>
      <c r="I14" s="1">
        <f t="shared" si="0"/>
        <v>5.4</v>
      </c>
      <c r="J14" s="1">
        <f>ROUND(IF(OR(G14=0,VALUE(LEFT(B14,1))&gt;2),0,I14+VLOOKUP(VALUE(LEFT(B14,1)),'Các bảng tham chiếu &amp; Thống kê'!$E$2:$F$5,2,0)),1)</f>
        <v>0</v>
      </c>
      <c r="K14" s="25" t="str">
        <f>VLOOKUP(J14,'Các bảng tham chiếu &amp; Thống kê'!$A$3:$C$10,2,1)</f>
        <v>F</v>
      </c>
    </row>
    <row r="15" spans="1:11" ht="43.2" x14ac:dyDescent="0.3">
      <c r="A15" s="1">
        <v>9</v>
      </c>
      <c r="B15" s="1" t="s">
        <v>38</v>
      </c>
      <c r="C15" s="1" t="s">
        <v>39</v>
      </c>
      <c r="D15" s="5">
        <f>VLOOKUP(VALUE(RIGHT(A15,8)), 'ĐIểm thực hành các buổi'!$A$2:$E$100, 4, 0)</f>
        <v>0.45</v>
      </c>
      <c r="E15" s="5">
        <f>VLOOKUP(VALUE(RIGHT(A15,8)), 'ĐIểm thực hành các buổi'!$A$2:$E$100, 5, 0)</f>
        <v>0.4</v>
      </c>
      <c r="F15" s="5">
        <f>VLOOKUP(VALUE(RIGHT(A15,8)), 'ĐIểm thực hành các buổi'!$A$2:$F$100, 6, 0)</f>
        <v>0.4</v>
      </c>
      <c r="G15" s="5">
        <f>VLOOKUP(VALUE(RIGHT(A15,8)), 'Điểm bài tập lớn'!$A$2:$D$100, 4, 0)</f>
        <v>0.75</v>
      </c>
      <c r="H15" s="5">
        <f>VLOOKUP(VALUE(RIGHT(A15,8)), 'Điểm lý thuyết'!$A$2:$D$100, 4, 0)</f>
        <v>6.3</v>
      </c>
      <c r="I15" s="1">
        <f t="shared" si="0"/>
        <v>5.8</v>
      </c>
      <c r="J15" s="1">
        <f>ROUND(IF(OR(G15=0,VALUE(LEFT(B15,1))&gt;2),0,I15+VLOOKUP(VALUE(LEFT(B15,1)),'Các bảng tham chiếu &amp; Thống kê'!$E$2:$F$5,2,0)),1)</f>
        <v>6.8</v>
      </c>
      <c r="K15" s="25" t="str">
        <f>VLOOKUP(J15,'Các bảng tham chiếu &amp; Thống kê'!$A$3:$C$10,2,1)</f>
        <v>C+</v>
      </c>
    </row>
    <row r="16" spans="1:11" ht="28.8" x14ac:dyDescent="0.3">
      <c r="A16" s="1">
        <v>10</v>
      </c>
      <c r="B16" s="1" t="s">
        <v>40</v>
      </c>
      <c r="C16" s="1" t="s">
        <v>41</v>
      </c>
      <c r="D16" s="5">
        <f>VLOOKUP(VALUE(RIGHT(A16,8)), 'ĐIểm thực hành các buổi'!$A$2:$E$100, 4, 0)</f>
        <v>0.3</v>
      </c>
      <c r="E16" s="5">
        <f>VLOOKUP(VALUE(RIGHT(A16,8)), 'ĐIểm thực hành các buổi'!$A$2:$E$100, 5, 0)</f>
        <v>0.5</v>
      </c>
      <c r="F16" s="5">
        <f>VLOOKUP(VALUE(RIGHT(A16,8)), 'ĐIểm thực hành các buổi'!$A$2:$F$100, 6, 0)</f>
        <v>0.45</v>
      </c>
      <c r="G16" s="5">
        <f>VLOOKUP(VALUE(RIGHT(A16,8)), 'Điểm bài tập lớn'!$A$2:$D$100, 4, 0)</f>
        <v>0.3</v>
      </c>
      <c r="H16" s="5">
        <f>VLOOKUP(VALUE(RIGHT(A16,8)), 'Điểm lý thuyết'!$A$2:$D$100, 4, 0)</f>
        <v>8.3000000000000007</v>
      </c>
      <c r="I16" s="1">
        <f t="shared" si="0"/>
        <v>6.5</v>
      </c>
      <c r="J16" s="1">
        <f>ROUND(IF(OR(G16=0,VALUE(LEFT(B16,1))&gt;2),0,I16+VLOOKUP(VALUE(LEFT(B16,1)),'Các bảng tham chiếu &amp; Thống kê'!$E$2:$F$5,2,0)),1)</f>
        <v>7</v>
      </c>
      <c r="K16" s="25" t="str">
        <f>VLOOKUP(J16,'Các bảng tham chiếu &amp; Thống kê'!$A$3:$C$10,2,1)</f>
        <v>B</v>
      </c>
    </row>
    <row r="17" spans="1:11" ht="28.8" x14ac:dyDescent="0.3">
      <c r="A17" s="1">
        <v>11</v>
      </c>
      <c r="B17" s="1" t="s">
        <v>42</v>
      </c>
      <c r="C17" s="1" t="s">
        <v>43</v>
      </c>
      <c r="D17" s="5">
        <f>VLOOKUP(VALUE(RIGHT(A17,8)), 'ĐIểm thực hành các buổi'!$A$2:$E$100, 4, 0)</f>
        <v>0.4</v>
      </c>
      <c r="E17" s="5">
        <f>VLOOKUP(VALUE(RIGHT(A17,8)), 'ĐIểm thực hành các buổi'!$A$2:$E$100, 5, 0)</f>
        <v>0.45</v>
      </c>
      <c r="F17" s="5">
        <f>VLOOKUP(VALUE(RIGHT(A17,8)), 'ĐIểm thực hành các buổi'!$A$2:$F$100, 6, 0)</f>
        <v>0.4</v>
      </c>
      <c r="G17" s="5">
        <f>VLOOKUP(VALUE(RIGHT(A17,8)), 'Điểm bài tập lớn'!$A$2:$D$100, 4, 0)</f>
        <v>0.3</v>
      </c>
      <c r="H17" s="5">
        <f>VLOOKUP(VALUE(RIGHT(A17,8)), 'Điểm lý thuyết'!$A$2:$D$100, 4, 0)</f>
        <v>-3</v>
      </c>
      <c r="I17" s="1">
        <f t="shared" si="0"/>
        <v>0</v>
      </c>
      <c r="J17" s="1">
        <f>ROUND(IF(OR(G17=0,VALUE(LEFT(B17,1))&gt;2),0,I17+VLOOKUP(VALUE(LEFT(B17,1)),'Các bảng tham chiếu &amp; Thống kê'!$E$2:$F$5,2,0)),1)</f>
        <v>0</v>
      </c>
      <c r="K17" s="25" t="str">
        <f>VLOOKUP(J17,'Các bảng tham chiếu &amp; Thống kê'!$A$3:$C$10,2,1)</f>
        <v>F</v>
      </c>
    </row>
    <row r="18" spans="1:11" ht="28.8" x14ac:dyDescent="0.3">
      <c r="A18" s="1">
        <v>12</v>
      </c>
      <c r="B18" s="1" t="s">
        <v>44</v>
      </c>
      <c r="C18" s="1" t="s">
        <v>45</v>
      </c>
      <c r="D18" s="5">
        <f>VLOOKUP(VALUE(RIGHT(A18,8)), 'ĐIểm thực hành các buổi'!$A$2:$E$100, 4, 0)</f>
        <v>0.5</v>
      </c>
      <c r="E18" s="5">
        <f>VLOOKUP(VALUE(RIGHT(A18,8)), 'ĐIểm thực hành các buổi'!$A$2:$E$100, 5, 0)</f>
        <v>0.5</v>
      </c>
      <c r="F18" s="5">
        <f>VLOOKUP(VALUE(RIGHT(A18,8)), 'ĐIểm thực hành các buổi'!$A$2:$F$100, 6, 0)</f>
        <v>0.45</v>
      </c>
      <c r="G18" s="5">
        <f>VLOOKUP(VALUE(RIGHT(A18,8)), 'Điểm bài tập lớn'!$A$2:$D$100, 4, 0)</f>
        <v>1.5</v>
      </c>
      <c r="H18" s="5">
        <f>VLOOKUP(VALUE(RIGHT(A18,8)), 'Điểm lý thuyết'!$A$2:$D$100, 4, 0)</f>
        <v>7</v>
      </c>
      <c r="I18" s="1">
        <f t="shared" si="0"/>
        <v>7.2</v>
      </c>
      <c r="J18" s="1">
        <f>ROUND(IF(OR(G18=0,VALUE(LEFT(B18,1))&gt;2),0,I18+VLOOKUP(VALUE(LEFT(B18,1)),'Các bảng tham chiếu &amp; Thống kê'!$E$2:$F$5,2,0)),1)</f>
        <v>7.5</v>
      </c>
      <c r="K18" s="25" t="str">
        <f>VLOOKUP(J18,'Các bảng tham chiếu &amp; Thống kê'!$A$3:$C$10,2,1)</f>
        <v>B</v>
      </c>
    </row>
    <row r="19" spans="1:11" ht="28.8" x14ac:dyDescent="0.3">
      <c r="A19" s="1">
        <v>13</v>
      </c>
      <c r="B19" s="1" t="s">
        <v>46</v>
      </c>
      <c r="C19" s="1" t="s">
        <v>47</v>
      </c>
      <c r="D19" s="5">
        <f>VLOOKUP(VALUE(RIGHT(A19,8)), 'ĐIểm thực hành các buổi'!$A$2:$E$100, 4, 0)</f>
        <v>0.4</v>
      </c>
      <c r="E19" s="5">
        <f>VLOOKUP(VALUE(RIGHT(A19,8)), 'ĐIểm thực hành các buổi'!$A$2:$E$100, 5, 0)</f>
        <v>0.4</v>
      </c>
      <c r="F19" s="5">
        <f>VLOOKUP(VALUE(RIGHT(A19,8)), 'ĐIểm thực hành các buổi'!$A$2:$F$100, 6, 0)</f>
        <v>0.35</v>
      </c>
      <c r="G19" s="5">
        <f>VLOOKUP(VALUE(RIGHT(A19,8)), 'Điểm bài tập lớn'!$A$2:$D$100, 4, 0)</f>
        <v>1.35</v>
      </c>
      <c r="H19" s="5">
        <f>VLOOKUP(VALUE(RIGHT(A19,8)), 'Điểm lý thuyết'!$A$2:$D$100, 4, 0)</f>
        <v>-3</v>
      </c>
      <c r="I19" s="1">
        <f t="shared" si="0"/>
        <v>0</v>
      </c>
      <c r="J19" s="1">
        <f>ROUND(IF(OR(G19=0,VALUE(LEFT(B19,1))&gt;2),0,I19+VLOOKUP(VALUE(LEFT(B19,1)),'Các bảng tham chiếu &amp; Thống kê'!$E$2:$F$5,2,0)),1)</f>
        <v>0</v>
      </c>
      <c r="K19" s="25" t="str">
        <f>VLOOKUP(J19,'Các bảng tham chiếu &amp; Thống kê'!$A$3:$C$10,2,1)</f>
        <v>F</v>
      </c>
    </row>
    <row r="20" spans="1:11" ht="43.2" x14ac:dyDescent="0.3">
      <c r="A20" s="1">
        <v>14</v>
      </c>
      <c r="B20" s="1" t="s">
        <v>48</v>
      </c>
      <c r="C20" s="1" t="s">
        <v>49</v>
      </c>
      <c r="D20" s="5">
        <f>VLOOKUP(VALUE(RIGHT(A20,8)), 'ĐIểm thực hành các buổi'!$A$2:$E$100, 4, 0)</f>
        <v>0.35</v>
      </c>
      <c r="E20" s="5">
        <f>VLOOKUP(VALUE(RIGHT(A20,8)), 'ĐIểm thực hành các buổi'!$A$2:$E$100, 5, 0)</f>
        <v>0.4</v>
      </c>
      <c r="F20" s="5">
        <f>VLOOKUP(VALUE(RIGHT(A20,8)), 'ĐIểm thực hành các buổi'!$A$2:$F$100, 6, 0)</f>
        <v>0</v>
      </c>
      <c r="G20" s="5">
        <f>VLOOKUP(VALUE(RIGHT(A20,8)), 'Điểm bài tập lớn'!$A$2:$D$100, 4, 0)</f>
        <v>0.85</v>
      </c>
      <c r="H20" s="5">
        <f>VLOOKUP(VALUE(RIGHT(A20,8)), 'Điểm lý thuyết'!$A$2:$D$100, 4, 0)</f>
        <v>6.5</v>
      </c>
      <c r="I20" s="1">
        <f t="shared" si="0"/>
        <v>5.5</v>
      </c>
      <c r="J20" s="1">
        <f>ROUND(IF(OR(G20=0,VALUE(LEFT(B20,1))&gt;2),0,I20+VLOOKUP(VALUE(LEFT(B20,1)),'Các bảng tham chiếu &amp; Thống kê'!$E$2:$F$5,2,0)),1)</f>
        <v>6.5</v>
      </c>
      <c r="K20" s="25" t="str">
        <f>VLOOKUP(J20,'Các bảng tham chiếu &amp; Thống kê'!$A$3:$C$10,2,1)</f>
        <v>C+</v>
      </c>
    </row>
  </sheetData>
  <mergeCells count="7">
    <mergeCell ref="B1:H1"/>
    <mergeCell ref="D2:E2"/>
    <mergeCell ref="D3:E3"/>
    <mergeCell ref="D4:E4"/>
    <mergeCell ref="F3:H3"/>
    <mergeCell ref="F4:H4"/>
    <mergeCell ref="F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03953-F21D-472F-AA82-23305BDC1925}">
  <dimension ref="A1:G17"/>
  <sheetViews>
    <sheetView workbookViewId="0">
      <selection activeCell="G9" sqref="G9"/>
    </sheetView>
  </sheetViews>
  <sheetFormatPr defaultRowHeight="14.4" x14ac:dyDescent="0.3"/>
  <cols>
    <col min="2" max="2" width="12.33203125" customWidth="1"/>
    <col min="3" max="3" width="16.6640625" customWidth="1"/>
  </cols>
  <sheetData>
    <row r="1" spans="1:7" x14ac:dyDescent="0.3">
      <c r="A1" s="32" t="s">
        <v>50</v>
      </c>
      <c r="B1" s="33"/>
      <c r="C1" s="33"/>
      <c r="D1" s="33"/>
      <c r="E1" s="33"/>
      <c r="F1" s="33"/>
    </row>
    <row r="2" spans="1:7" ht="28.8" x14ac:dyDescent="0.3">
      <c r="A2" s="9" t="s">
        <v>11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</row>
    <row r="3" spans="1:7" x14ac:dyDescent="0.3">
      <c r="A3" s="10">
        <v>1</v>
      </c>
      <c r="B3" s="10" t="s">
        <v>56</v>
      </c>
      <c r="C3" s="10" t="s">
        <v>23</v>
      </c>
      <c r="D3" s="12">
        <v>0.45</v>
      </c>
      <c r="E3" s="47">
        <v>0.25</v>
      </c>
      <c r="F3" s="47">
        <v>0.3</v>
      </c>
      <c r="G3" s="14"/>
    </row>
    <row r="4" spans="1:7" x14ac:dyDescent="0.3">
      <c r="A4" s="10">
        <v>2</v>
      </c>
      <c r="B4" s="10" t="s">
        <v>57</v>
      </c>
      <c r="C4" s="10" t="s">
        <v>25</v>
      </c>
      <c r="D4" s="47">
        <v>0.5</v>
      </c>
      <c r="E4" s="47">
        <v>0.35</v>
      </c>
      <c r="F4" s="47">
        <v>0.4</v>
      </c>
      <c r="G4" s="14"/>
    </row>
    <row r="5" spans="1:7" x14ac:dyDescent="0.3">
      <c r="A5" s="10">
        <v>3</v>
      </c>
      <c r="B5" s="10" t="s">
        <v>58</v>
      </c>
      <c r="C5" s="10" t="s">
        <v>27</v>
      </c>
      <c r="D5" s="47">
        <v>0.25</v>
      </c>
      <c r="E5" s="47">
        <v>0.25</v>
      </c>
      <c r="F5" s="47">
        <v>0.3</v>
      </c>
      <c r="G5" s="14"/>
    </row>
    <row r="6" spans="1:7" x14ac:dyDescent="0.3">
      <c r="A6" s="10">
        <v>4</v>
      </c>
      <c r="B6" s="10" t="s">
        <v>59</v>
      </c>
      <c r="C6" s="10" t="s">
        <v>29</v>
      </c>
      <c r="D6" s="47">
        <v>0.4</v>
      </c>
      <c r="E6" s="47">
        <v>0.25</v>
      </c>
      <c r="F6" s="47">
        <v>0.35</v>
      </c>
      <c r="G6" s="14"/>
    </row>
    <row r="7" spans="1:7" x14ac:dyDescent="0.3">
      <c r="A7" s="10">
        <v>5</v>
      </c>
      <c r="B7" s="10" t="s">
        <v>60</v>
      </c>
      <c r="C7" s="10" t="s">
        <v>31</v>
      </c>
      <c r="D7" s="12">
        <f ca="1">VLOOKUP(RIGHT(B7,8),'ĐIểm thực hành các buổi'!$B$3:$F$41,3,0)</f>
        <v>0</v>
      </c>
      <c r="E7" s="47">
        <v>0.4</v>
      </c>
      <c r="F7" s="47">
        <v>0.35</v>
      </c>
      <c r="G7" s="14"/>
    </row>
    <row r="8" spans="1:7" x14ac:dyDescent="0.3">
      <c r="A8" s="10">
        <v>6</v>
      </c>
      <c r="B8" s="10" t="s">
        <v>61</v>
      </c>
      <c r="C8" s="10" t="s">
        <v>33</v>
      </c>
      <c r="D8" s="47">
        <v>0.4</v>
      </c>
      <c r="E8" s="47">
        <v>0.45</v>
      </c>
      <c r="F8" s="47">
        <v>0.5</v>
      </c>
      <c r="G8" s="14"/>
    </row>
    <row r="9" spans="1:7" x14ac:dyDescent="0.3">
      <c r="A9" s="10">
        <v>7</v>
      </c>
      <c r="B9" s="10" t="s">
        <v>62</v>
      </c>
      <c r="C9" s="10" t="s">
        <v>35</v>
      </c>
      <c r="D9" s="47">
        <v>0.4</v>
      </c>
      <c r="E9" s="47">
        <v>0.4</v>
      </c>
      <c r="F9" s="47">
        <v>0.4</v>
      </c>
      <c r="G9" s="14"/>
    </row>
    <row r="10" spans="1:7" x14ac:dyDescent="0.3">
      <c r="A10" s="10">
        <v>8</v>
      </c>
      <c r="B10" s="10" t="s">
        <v>63</v>
      </c>
      <c r="C10" s="10" t="s">
        <v>37</v>
      </c>
      <c r="D10" s="47">
        <v>0.45</v>
      </c>
      <c r="E10" s="47">
        <v>0.4</v>
      </c>
      <c r="F10" s="47">
        <v>0.45</v>
      </c>
      <c r="G10" s="14"/>
    </row>
    <row r="11" spans="1:7" ht="14.25" customHeight="1" x14ac:dyDescent="0.3">
      <c r="A11" s="10">
        <v>9</v>
      </c>
      <c r="B11" s="10" t="s">
        <v>64</v>
      </c>
      <c r="C11" s="10" t="s">
        <v>39</v>
      </c>
      <c r="D11" s="47">
        <v>0.45</v>
      </c>
      <c r="E11" s="47">
        <v>0.4</v>
      </c>
      <c r="F11" s="47">
        <v>0.4</v>
      </c>
      <c r="G11" s="14"/>
    </row>
    <row r="12" spans="1:7" x14ac:dyDescent="0.3">
      <c r="A12" s="10">
        <v>10</v>
      </c>
      <c r="B12" s="10" t="s">
        <v>65</v>
      </c>
      <c r="C12" s="10" t="s">
        <v>41</v>
      </c>
      <c r="D12" s="47">
        <v>0.3</v>
      </c>
      <c r="E12" s="47">
        <v>0.5</v>
      </c>
      <c r="F12" s="47">
        <v>0.45</v>
      </c>
      <c r="G12" s="14"/>
    </row>
    <row r="13" spans="1:7" x14ac:dyDescent="0.3">
      <c r="A13" s="10">
        <v>11</v>
      </c>
      <c r="B13" s="10" t="s">
        <v>66</v>
      </c>
      <c r="C13" s="10" t="s">
        <v>43</v>
      </c>
      <c r="D13" s="47">
        <v>0.4</v>
      </c>
      <c r="E13" s="47">
        <v>0.45</v>
      </c>
      <c r="F13" s="47">
        <v>0.4</v>
      </c>
      <c r="G13" s="14"/>
    </row>
    <row r="14" spans="1:7" x14ac:dyDescent="0.3">
      <c r="A14" s="10">
        <v>12</v>
      </c>
      <c r="B14" s="10" t="s">
        <v>67</v>
      </c>
      <c r="C14" s="10" t="s">
        <v>45</v>
      </c>
      <c r="D14" s="47">
        <v>0.5</v>
      </c>
      <c r="E14" s="47">
        <v>0.5</v>
      </c>
      <c r="F14" s="47">
        <v>0.45</v>
      </c>
      <c r="G14" s="14"/>
    </row>
    <row r="15" spans="1:7" x14ac:dyDescent="0.3">
      <c r="A15" s="10">
        <v>13</v>
      </c>
      <c r="B15" s="10" t="s">
        <v>68</v>
      </c>
      <c r="C15" s="10" t="s">
        <v>47</v>
      </c>
      <c r="D15" s="47">
        <v>0.4</v>
      </c>
      <c r="E15" s="47">
        <v>0.4</v>
      </c>
      <c r="F15" s="47">
        <v>0.35</v>
      </c>
      <c r="G15" s="14"/>
    </row>
    <row r="16" spans="1:7" x14ac:dyDescent="0.3">
      <c r="A16" s="11">
        <v>14</v>
      </c>
      <c r="B16" s="11" t="s">
        <v>69</v>
      </c>
      <c r="C16" s="11" t="s">
        <v>49</v>
      </c>
      <c r="D16" s="13">
        <v>0.35</v>
      </c>
      <c r="E16" s="15">
        <v>0.4</v>
      </c>
      <c r="F16" s="15">
        <v>0</v>
      </c>
      <c r="G16" s="14"/>
    </row>
    <row r="17" spans="4:4" x14ac:dyDescent="0.3">
      <c r="D17" s="14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50943-A2A9-4880-BB26-7983352675E1}">
  <dimension ref="A1:D16"/>
  <sheetViews>
    <sheetView workbookViewId="0">
      <selection activeCell="D3" sqref="D3"/>
    </sheetView>
  </sheetViews>
  <sheetFormatPr defaultRowHeight="14.4" x14ac:dyDescent="0.3"/>
  <cols>
    <col min="2" max="2" width="10.21875" customWidth="1"/>
    <col min="3" max="3" width="18.6640625" customWidth="1"/>
  </cols>
  <sheetData>
    <row r="1" spans="1:4" x14ac:dyDescent="0.3">
      <c r="A1" s="34" t="s">
        <v>70</v>
      </c>
      <c r="B1" s="35"/>
      <c r="C1" s="35"/>
      <c r="D1" s="35"/>
    </row>
    <row r="2" spans="1:4" ht="28.8" x14ac:dyDescent="0.3">
      <c r="A2" s="2" t="s">
        <v>11</v>
      </c>
      <c r="B2" s="2" t="s">
        <v>51</v>
      </c>
      <c r="C2" s="2" t="s">
        <v>52</v>
      </c>
      <c r="D2" s="2" t="s">
        <v>71</v>
      </c>
    </row>
    <row r="3" spans="1:4" x14ac:dyDescent="0.3">
      <c r="A3" s="7">
        <v>1</v>
      </c>
      <c r="B3" s="1" t="s">
        <v>56</v>
      </c>
      <c r="C3" s="1" t="s">
        <v>23</v>
      </c>
      <c r="D3" s="7">
        <v>0.5</v>
      </c>
    </row>
    <row r="4" spans="1:4" x14ac:dyDescent="0.3">
      <c r="A4" s="7">
        <v>2</v>
      </c>
      <c r="B4" s="1" t="s">
        <v>57</v>
      </c>
      <c r="C4" s="1" t="s">
        <v>25</v>
      </c>
      <c r="D4" s="7">
        <v>1</v>
      </c>
    </row>
    <row r="5" spans="1:4" x14ac:dyDescent="0.3">
      <c r="A5" s="7">
        <v>3</v>
      </c>
      <c r="B5" s="1" t="s">
        <v>72</v>
      </c>
      <c r="C5" s="1" t="s">
        <v>27</v>
      </c>
      <c r="D5" s="7">
        <v>0.5</v>
      </c>
    </row>
    <row r="6" spans="1:4" x14ac:dyDescent="0.3">
      <c r="A6" s="7">
        <v>4</v>
      </c>
      <c r="B6" s="1" t="s">
        <v>73</v>
      </c>
      <c r="C6" s="1" t="s">
        <v>29</v>
      </c>
      <c r="D6" s="7">
        <v>1</v>
      </c>
    </row>
    <row r="7" spans="1:4" x14ac:dyDescent="0.3">
      <c r="A7" s="7">
        <v>5</v>
      </c>
      <c r="B7" s="1" t="s">
        <v>60</v>
      </c>
      <c r="C7" s="1" t="s">
        <v>31</v>
      </c>
      <c r="D7" s="7">
        <v>0.75</v>
      </c>
    </row>
    <row r="8" spans="1:4" x14ac:dyDescent="0.3">
      <c r="A8" s="7">
        <v>6</v>
      </c>
      <c r="B8" s="1" t="s">
        <v>61</v>
      </c>
      <c r="C8" s="1" t="s">
        <v>33</v>
      </c>
      <c r="D8" s="7">
        <v>1.2</v>
      </c>
    </row>
    <row r="9" spans="1:4" x14ac:dyDescent="0.3">
      <c r="A9" s="7">
        <v>7</v>
      </c>
      <c r="B9" s="1" t="s">
        <v>62</v>
      </c>
      <c r="C9" s="1" t="s">
        <v>35</v>
      </c>
      <c r="D9" s="7">
        <v>1</v>
      </c>
    </row>
    <row r="10" spans="1:4" x14ac:dyDescent="0.3">
      <c r="A10" s="7">
        <v>8</v>
      </c>
      <c r="B10" s="1" t="s">
        <v>63</v>
      </c>
      <c r="C10" s="1" t="s">
        <v>37</v>
      </c>
      <c r="D10" s="7">
        <v>0</v>
      </c>
    </row>
    <row r="11" spans="1:4" x14ac:dyDescent="0.3">
      <c r="A11" s="7">
        <v>9</v>
      </c>
      <c r="B11" s="1" t="s">
        <v>64</v>
      </c>
      <c r="C11" s="1" t="s">
        <v>39</v>
      </c>
      <c r="D11" s="7">
        <v>0.75</v>
      </c>
    </row>
    <row r="12" spans="1:4" x14ac:dyDescent="0.3">
      <c r="A12" s="7">
        <v>10</v>
      </c>
      <c r="B12" s="1" t="s">
        <v>65</v>
      </c>
      <c r="C12" s="1" t="s">
        <v>41</v>
      </c>
      <c r="D12" s="7">
        <v>0.3</v>
      </c>
    </row>
    <row r="13" spans="1:4" x14ac:dyDescent="0.3">
      <c r="A13" s="7">
        <v>11</v>
      </c>
      <c r="B13" s="1" t="s">
        <v>66</v>
      </c>
      <c r="C13" s="1" t="s">
        <v>43</v>
      </c>
      <c r="D13" s="7">
        <v>0.3</v>
      </c>
    </row>
    <row r="14" spans="1:4" x14ac:dyDescent="0.3">
      <c r="A14" s="7">
        <v>12</v>
      </c>
      <c r="B14" s="1" t="s">
        <v>74</v>
      </c>
      <c r="C14" s="1" t="s">
        <v>45</v>
      </c>
      <c r="D14" s="7">
        <v>1.5</v>
      </c>
    </row>
    <row r="15" spans="1:4" x14ac:dyDescent="0.3">
      <c r="A15" s="7">
        <v>13</v>
      </c>
      <c r="B15" s="1" t="s">
        <v>68</v>
      </c>
      <c r="C15" s="1" t="s">
        <v>47</v>
      </c>
      <c r="D15" s="7">
        <v>1.35</v>
      </c>
    </row>
    <row r="16" spans="1:4" x14ac:dyDescent="0.3">
      <c r="A16" s="7">
        <v>14</v>
      </c>
      <c r="B16" s="1" t="s">
        <v>69</v>
      </c>
      <c r="C16" s="1" t="s">
        <v>49</v>
      </c>
      <c r="D16" s="7">
        <v>0.85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EFD0-96C2-45CE-8386-7189E3D1C35C}">
  <dimension ref="A1:D16"/>
  <sheetViews>
    <sheetView workbookViewId="0">
      <selection activeCell="D3" sqref="D3"/>
    </sheetView>
  </sheetViews>
  <sheetFormatPr defaultRowHeight="14.4" x14ac:dyDescent="0.3"/>
  <cols>
    <col min="2" max="2" width="10.6640625" customWidth="1"/>
    <col min="3" max="3" width="18.109375" customWidth="1"/>
  </cols>
  <sheetData>
    <row r="1" spans="1:4" x14ac:dyDescent="0.3">
      <c r="A1" s="36" t="s">
        <v>75</v>
      </c>
      <c r="B1" s="37"/>
      <c r="C1" s="37"/>
      <c r="D1" s="37"/>
    </row>
    <row r="2" spans="1:4" ht="28.8" x14ac:dyDescent="0.3">
      <c r="A2" s="8" t="s">
        <v>11</v>
      </c>
      <c r="B2" s="8" t="s">
        <v>51</v>
      </c>
      <c r="C2" s="8" t="s">
        <v>52</v>
      </c>
      <c r="D2" s="8" t="s">
        <v>75</v>
      </c>
    </row>
    <row r="3" spans="1:4" x14ac:dyDescent="0.3">
      <c r="A3" s="7">
        <v>1</v>
      </c>
      <c r="B3" s="1" t="s">
        <v>56</v>
      </c>
      <c r="C3" s="1" t="s">
        <v>76</v>
      </c>
      <c r="D3" s="46">
        <v>4.2</v>
      </c>
    </row>
    <row r="4" spans="1:4" x14ac:dyDescent="0.3">
      <c r="A4" s="7">
        <v>2</v>
      </c>
      <c r="B4" s="1" t="s">
        <v>57</v>
      </c>
      <c r="C4" s="1" t="s">
        <v>25</v>
      </c>
      <c r="D4" s="46">
        <v>5.8</v>
      </c>
    </row>
    <row r="5" spans="1:4" x14ac:dyDescent="0.3">
      <c r="A5" s="7">
        <v>3</v>
      </c>
      <c r="B5" s="1" t="s">
        <v>72</v>
      </c>
      <c r="C5" s="1" t="s">
        <v>27</v>
      </c>
      <c r="D5" s="46">
        <v>5.8</v>
      </c>
    </row>
    <row r="6" spans="1:4" x14ac:dyDescent="0.3">
      <c r="A6" s="7">
        <v>4</v>
      </c>
      <c r="B6" s="1" t="s">
        <v>73</v>
      </c>
      <c r="C6" s="1" t="s">
        <v>29</v>
      </c>
      <c r="D6" s="46">
        <v>4.5</v>
      </c>
    </row>
    <row r="7" spans="1:4" x14ac:dyDescent="0.3">
      <c r="A7" s="7">
        <v>5</v>
      </c>
      <c r="B7" s="1" t="s">
        <v>60</v>
      </c>
      <c r="C7" s="1" t="s">
        <v>31</v>
      </c>
      <c r="D7" s="46">
        <v>5.5</v>
      </c>
    </row>
    <row r="8" spans="1:4" x14ac:dyDescent="0.3">
      <c r="A8" s="7">
        <v>6</v>
      </c>
      <c r="B8" s="1" t="s">
        <v>61</v>
      </c>
      <c r="C8" s="1" t="s">
        <v>33</v>
      </c>
      <c r="D8" s="46">
        <v>7.5</v>
      </c>
    </row>
    <row r="9" spans="1:4" x14ac:dyDescent="0.3">
      <c r="A9" s="7">
        <v>7</v>
      </c>
      <c r="B9" s="1" t="s">
        <v>62</v>
      </c>
      <c r="C9" s="1" t="s">
        <v>35</v>
      </c>
      <c r="D9" s="46">
        <v>5.3</v>
      </c>
    </row>
    <row r="10" spans="1:4" x14ac:dyDescent="0.3">
      <c r="A10" s="7">
        <v>8</v>
      </c>
      <c r="B10" s="1" t="s">
        <v>63</v>
      </c>
      <c r="C10" s="1" t="s">
        <v>37</v>
      </c>
      <c r="D10" s="46">
        <v>6.8</v>
      </c>
    </row>
    <row r="11" spans="1:4" x14ac:dyDescent="0.3">
      <c r="A11" s="7">
        <v>9</v>
      </c>
      <c r="B11" s="1" t="s">
        <v>64</v>
      </c>
      <c r="C11" s="1" t="s">
        <v>39</v>
      </c>
      <c r="D11" s="46">
        <v>6.3</v>
      </c>
    </row>
    <row r="12" spans="1:4" x14ac:dyDescent="0.3">
      <c r="A12" s="7">
        <v>10</v>
      </c>
      <c r="B12" s="1" t="s">
        <v>65</v>
      </c>
      <c r="C12" s="1" t="s">
        <v>41</v>
      </c>
      <c r="D12" s="46">
        <v>8.3000000000000007</v>
      </c>
    </row>
    <row r="13" spans="1:4" x14ac:dyDescent="0.3">
      <c r="A13" s="7">
        <v>11</v>
      </c>
      <c r="B13" s="1" t="s">
        <v>66</v>
      </c>
      <c r="C13" s="1" t="s">
        <v>43</v>
      </c>
      <c r="D13" s="7">
        <v>-3</v>
      </c>
    </row>
    <row r="14" spans="1:4" x14ac:dyDescent="0.3">
      <c r="A14" s="7">
        <v>12</v>
      </c>
      <c r="B14" s="1" t="s">
        <v>74</v>
      </c>
      <c r="C14" s="1" t="s">
        <v>45</v>
      </c>
      <c r="D14" s="7">
        <v>7</v>
      </c>
    </row>
    <row r="15" spans="1:4" x14ac:dyDescent="0.3">
      <c r="A15" s="7">
        <v>13</v>
      </c>
      <c r="B15" s="1" t="s">
        <v>68</v>
      </c>
      <c r="C15" s="1" t="s">
        <v>47</v>
      </c>
      <c r="D15" s="7">
        <v>-3</v>
      </c>
    </row>
    <row r="16" spans="1:4" x14ac:dyDescent="0.3">
      <c r="A16" s="7">
        <v>14</v>
      </c>
      <c r="B16" s="1" t="s">
        <v>69</v>
      </c>
      <c r="C16" s="1" t="s">
        <v>49</v>
      </c>
      <c r="D16" s="46">
        <v>6.5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FA3D2-98A9-4933-B7C1-1DFC59B56729}">
  <dimension ref="A1:J37"/>
  <sheetViews>
    <sheetView tabSelected="1" zoomScaleNormal="100" workbookViewId="0">
      <selection activeCell="F24" sqref="F24:F26"/>
    </sheetView>
  </sheetViews>
  <sheetFormatPr defaultRowHeight="14.4" x14ac:dyDescent="0.3"/>
  <cols>
    <col min="1" max="1" width="22.88671875" customWidth="1"/>
    <col min="2" max="2" width="10.21875" customWidth="1"/>
    <col min="3" max="3" width="24.109375" customWidth="1"/>
    <col min="5" max="5" width="28.109375" customWidth="1"/>
    <col min="6" max="6" width="26.109375" customWidth="1"/>
  </cols>
  <sheetData>
    <row r="1" spans="1:6" x14ac:dyDescent="0.3">
      <c r="A1" s="44" t="s">
        <v>77</v>
      </c>
      <c r="B1" s="44"/>
      <c r="C1" s="44"/>
      <c r="D1" s="3"/>
      <c r="E1" s="44" t="s">
        <v>78</v>
      </c>
      <c r="F1" s="44"/>
    </row>
    <row r="2" spans="1:6" x14ac:dyDescent="0.3">
      <c r="A2" s="4" t="s">
        <v>79</v>
      </c>
      <c r="B2" s="4" t="s">
        <v>80</v>
      </c>
      <c r="C2" s="4" t="s">
        <v>81</v>
      </c>
      <c r="D2" s="3"/>
      <c r="E2" s="4" t="s">
        <v>82</v>
      </c>
      <c r="F2" s="4" t="s">
        <v>83</v>
      </c>
    </row>
    <row r="3" spans="1:6" x14ac:dyDescent="0.3">
      <c r="A3" s="5">
        <v>0</v>
      </c>
      <c r="B3" s="5" t="s">
        <v>84</v>
      </c>
      <c r="C3" s="5">
        <v>0</v>
      </c>
      <c r="D3" s="6"/>
      <c r="E3" s="7">
        <v>0</v>
      </c>
      <c r="F3" s="5">
        <v>1</v>
      </c>
    </row>
    <row r="4" spans="1:6" x14ac:dyDescent="0.3">
      <c r="A4" s="5">
        <v>4</v>
      </c>
      <c r="B4" s="5" t="s">
        <v>85</v>
      </c>
      <c r="C4" s="5">
        <v>1</v>
      </c>
      <c r="D4" s="6"/>
      <c r="E4" s="7">
        <v>1</v>
      </c>
      <c r="F4" s="45">
        <v>0.5</v>
      </c>
    </row>
    <row r="5" spans="1:6" x14ac:dyDescent="0.3">
      <c r="A5" s="5">
        <v>5</v>
      </c>
      <c r="B5" s="27" t="s">
        <v>86</v>
      </c>
      <c r="C5" s="27">
        <v>1.5</v>
      </c>
      <c r="D5" s="6"/>
      <c r="E5" s="7">
        <v>2</v>
      </c>
      <c r="F5" s="45">
        <v>0.25</v>
      </c>
    </row>
    <row r="6" spans="1:6" x14ac:dyDescent="0.3">
      <c r="A6" s="5">
        <v>5.5</v>
      </c>
      <c r="B6" s="5" t="s">
        <v>87</v>
      </c>
      <c r="C6" s="5">
        <v>2</v>
      </c>
      <c r="D6" s="6"/>
      <c r="E6" s="6"/>
      <c r="F6" s="6"/>
    </row>
    <row r="7" spans="1:6" x14ac:dyDescent="0.3">
      <c r="A7" s="5">
        <v>6.5</v>
      </c>
      <c r="B7" s="27" t="s">
        <v>88</v>
      </c>
      <c r="C7" s="5">
        <v>2.5</v>
      </c>
      <c r="D7" s="6"/>
      <c r="E7" s="6"/>
      <c r="F7" s="6"/>
    </row>
    <row r="8" spans="1:6" x14ac:dyDescent="0.3">
      <c r="A8" s="5">
        <v>7</v>
      </c>
      <c r="B8" s="5" t="s">
        <v>89</v>
      </c>
      <c r="C8" s="5">
        <v>3</v>
      </c>
      <c r="D8" s="6"/>
      <c r="E8" s="6"/>
      <c r="F8" s="6"/>
    </row>
    <row r="9" spans="1:6" x14ac:dyDescent="0.3">
      <c r="A9" s="5">
        <v>8</v>
      </c>
      <c r="B9" s="27" t="s">
        <v>90</v>
      </c>
      <c r="C9" s="5">
        <v>3.5</v>
      </c>
      <c r="D9" s="6"/>
      <c r="E9" s="6"/>
      <c r="F9" s="6"/>
    </row>
    <row r="10" spans="1:6" x14ac:dyDescent="0.3">
      <c r="A10" s="5">
        <v>9</v>
      </c>
      <c r="B10" s="5" t="s">
        <v>91</v>
      </c>
      <c r="C10" s="1">
        <v>4</v>
      </c>
      <c r="D10" s="6"/>
      <c r="E10" s="6"/>
      <c r="F10" s="6"/>
    </row>
    <row r="11" spans="1:6" x14ac:dyDescent="0.3">
      <c r="A11" s="6"/>
      <c r="B11" s="6"/>
      <c r="C11" s="6"/>
      <c r="D11" s="6"/>
      <c r="E11" s="6"/>
      <c r="F11" s="6"/>
    </row>
    <row r="12" spans="1:6" x14ac:dyDescent="0.3">
      <c r="A12" s="40" t="s">
        <v>92</v>
      </c>
      <c r="B12" s="40"/>
      <c r="C12" s="40"/>
      <c r="D12" s="6"/>
      <c r="E12" s="40" t="s">
        <v>93</v>
      </c>
      <c r="F12" s="40"/>
    </row>
    <row r="13" spans="1:6" x14ac:dyDescent="0.3">
      <c r="A13" s="4" t="s">
        <v>11</v>
      </c>
      <c r="B13" s="4" t="s">
        <v>51</v>
      </c>
      <c r="C13" s="4" t="s">
        <v>52</v>
      </c>
      <c r="D13" s="6"/>
      <c r="E13" s="4" t="s">
        <v>80</v>
      </c>
      <c r="F13" s="4" t="s">
        <v>94</v>
      </c>
    </row>
    <row r="14" spans="1:6" x14ac:dyDescent="0.3">
      <c r="A14" s="1">
        <v>1</v>
      </c>
      <c r="B14" s="1" t="s">
        <v>73</v>
      </c>
      <c r="C14" s="1" t="s">
        <v>29</v>
      </c>
      <c r="D14" s="6"/>
      <c r="E14" s="7" t="s">
        <v>91</v>
      </c>
      <c r="F14" s="1">
        <f ca="1">COUNTIF('Tổng hợp điểm'!$K$7:$K$45,E14)</f>
        <v>0</v>
      </c>
    </row>
    <row r="15" spans="1:6" x14ac:dyDescent="0.3">
      <c r="A15" s="1">
        <v>2</v>
      </c>
      <c r="B15" s="1" t="s">
        <v>63</v>
      </c>
      <c r="C15" s="1" t="s">
        <v>37</v>
      </c>
      <c r="D15" s="6"/>
      <c r="E15" s="28" t="s">
        <v>90</v>
      </c>
      <c r="F15" s="1">
        <v>1</v>
      </c>
    </row>
    <row r="16" spans="1:6" x14ac:dyDescent="0.3">
      <c r="A16" s="1">
        <v>3</v>
      </c>
      <c r="B16" s="1" t="s">
        <v>64</v>
      </c>
      <c r="C16" s="1" t="s">
        <v>39</v>
      </c>
      <c r="D16" s="6"/>
      <c r="E16" s="7" t="s">
        <v>89</v>
      </c>
      <c r="F16" s="1">
        <v>2</v>
      </c>
    </row>
    <row r="17" spans="1:10" x14ac:dyDescent="0.3">
      <c r="A17" s="1">
        <v>4</v>
      </c>
      <c r="B17" s="1" t="s">
        <v>62</v>
      </c>
      <c r="C17" s="1" t="s">
        <v>35</v>
      </c>
      <c r="D17" s="6"/>
      <c r="E17" s="28" t="s">
        <v>88</v>
      </c>
      <c r="F17" s="1">
        <v>2</v>
      </c>
    </row>
    <row r="18" spans="1:10" x14ac:dyDescent="0.3">
      <c r="A18" s="1">
        <v>5</v>
      </c>
      <c r="B18" s="1" t="s">
        <v>60</v>
      </c>
      <c r="C18" s="1" t="s">
        <v>31</v>
      </c>
      <c r="D18" s="6"/>
      <c r="E18" s="7" t="s">
        <v>87</v>
      </c>
      <c r="F18" s="1">
        <v>4</v>
      </c>
    </row>
    <row r="19" spans="1:10" x14ac:dyDescent="0.3">
      <c r="A19" s="1">
        <v>6</v>
      </c>
      <c r="B19" s="1" t="s">
        <v>57</v>
      </c>
      <c r="C19" s="1" t="s">
        <v>25</v>
      </c>
      <c r="D19" s="6"/>
      <c r="E19" s="28" t="s">
        <v>86</v>
      </c>
      <c r="F19" s="1">
        <v>2</v>
      </c>
    </row>
    <row r="20" spans="1:10" x14ac:dyDescent="0.3">
      <c r="A20" s="1">
        <v>7</v>
      </c>
      <c r="B20" s="1" t="s">
        <v>66</v>
      </c>
      <c r="C20" s="1" t="s">
        <v>43</v>
      </c>
      <c r="D20" s="6"/>
      <c r="E20" s="7" t="s">
        <v>85</v>
      </c>
      <c r="F20" s="1">
        <f ca="1">COUNTIF('Tổng hợp điểm'!$K$7:$K$45,E20)</f>
        <v>0</v>
      </c>
    </row>
    <row r="21" spans="1:10" x14ac:dyDescent="0.3">
      <c r="A21" s="1">
        <v>8</v>
      </c>
      <c r="B21" s="1" t="s">
        <v>69</v>
      </c>
      <c r="C21" s="1" t="s">
        <v>49</v>
      </c>
      <c r="D21" s="6"/>
      <c r="E21" s="7" t="s">
        <v>84</v>
      </c>
      <c r="F21" s="1">
        <v>3</v>
      </c>
    </row>
    <row r="22" spans="1:10" x14ac:dyDescent="0.3">
      <c r="A22" s="1">
        <v>9</v>
      </c>
      <c r="B22" s="1" t="s">
        <v>74</v>
      </c>
      <c r="C22" s="1" t="s">
        <v>45</v>
      </c>
      <c r="D22" s="6"/>
      <c r="E22" s="6"/>
      <c r="F22" s="1"/>
    </row>
    <row r="23" spans="1:10" ht="13.95" customHeight="1" x14ac:dyDescent="0.3">
      <c r="A23" s="1">
        <v>10</v>
      </c>
      <c r="B23" s="1" t="s">
        <v>72</v>
      </c>
      <c r="C23" s="1" t="s">
        <v>27</v>
      </c>
      <c r="D23" s="6"/>
      <c r="E23" s="39" t="s">
        <v>95</v>
      </c>
      <c r="F23" s="39"/>
    </row>
    <row r="24" spans="1:10" ht="27.6" customHeight="1" x14ac:dyDescent="0.3">
      <c r="A24" s="1">
        <v>11</v>
      </c>
      <c r="B24" s="1" t="s">
        <v>65</v>
      </c>
      <c r="C24" s="1" t="s">
        <v>41</v>
      </c>
      <c r="D24" s="6"/>
      <c r="E24" s="42" t="s">
        <v>96</v>
      </c>
      <c r="F24" s="41">
        <v>3</v>
      </c>
    </row>
    <row r="25" spans="1:10" x14ac:dyDescent="0.3">
      <c r="A25" s="1">
        <v>12</v>
      </c>
      <c r="B25" s="1" t="s">
        <v>56</v>
      </c>
      <c r="C25" s="1" t="s">
        <v>23</v>
      </c>
      <c r="D25" s="6"/>
      <c r="E25" s="42"/>
      <c r="F25" s="41"/>
    </row>
    <row r="26" spans="1:10" ht="13.95" customHeight="1" x14ac:dyDescent="0.3">
      <c r="A26" s="1">
        <v>13</v>
      </c>
      <c r="B26" s="1" t="s">
        <v>61</v>
      </c>
      <c r="C26" s="1" t="s">
        <v>33</v>
      </c>
      <c r="D26" s="6"/>
      <c r="E26" s="43"/>
      <c r="F26" s="41"/>
    </row>
    <row r="27" spans="1:10" ht="28.5" customHeight="1" x14ac:dyDescent="0.3">
      <c r="A27" s="1">
        <v>14</v>
      </c>
      <c r="B27" s="1" t="s">
        <v>68</v>
      </c>
      <c r="C27" s="1" t="s">
        <v>47</v>
      </c>
      <c r="D27" s="21"/>
      <c r="E27" s="20" t="s">
        <v>97</v>
      </c>
      <c r="F27" s="23">
        <f>DCOUNTA('Tổng hợp điểm'!B6:B45,'Tổng hợp điểm'!B6,'Các bảng tham chiếu &amp; Thống kê'!E31:E32)</f>
        <v>2</v>
      </c>
      <c r="J27" s="22"/>
    </row>
    <row r="28" spans="1:10" x14ac:dyDescent="0.3">
      <c r="J28" s="22"/>
    </row>
    <row r="29" spans="1:10" x14ac:dyDescent="0.3">
      <c r="E29" s="38" t="s">
        <v>96</v>
      </c>
      <c r="F29" s="38"/>
    </row>
    <row r="30" spans="1:10" x14ac:dyDescent="0.3">
      <c r="E30" s="38" t="b">
        <f>OR('Tổng hợp điểm'!G22=0,'Tổng hợp điểm'!H22=-3)</f>
        <v>1</v>
      </c>
      <c r="F30" s="38"/>
    </row>
    <row r="31" spans="1:10" ht="13.95" customHeight="1" x14ac:dyDescent="0.3">
      <c r="E31" s="38" t="s">
        <v>97</v>
      </c>
      <c r="F31" s="38"/>
    </row>
    <row r="32" spans="1:10" x14ac:dyDescent="0.3">
      <c r="E32" s="38" t="b">
        <f>VALUE(LEFT('Tổng hợp điểm'!B7,1))&gt;2</f>
        <v>0</v>
      </c>
      <c r="F32" s="38"/>
    </row>
    <row r="34" spans="5:5" x14ac:dyDescent="0.3">
      <c r="E34" s="24" t="s">
        <v>98</v>
      </c>
    </row>
    <row r="35" spans="5:5" x14ac:dyDescent="0.3">
      <c r="E35" s="24" t="b">
        <f>'Tổng hợp điểm'!J7&gt;=7</f>
        <v>0</v>
      </c>
    </row>
    <row r="36" spans="5:5" x14ac:dyDescent="0.3">
      <c r="E36" s="24" t="s">
        <v>99</v>
      </c>
    </row>
    <row r="37" spans="5:5" x14ac:dyDescent="0.3">
      <c r="E37" t="b">
        <f>'Tổng hợp điểm'!J7&lt;7</f>
        <v>1</v>
      </c>
    </row>
  </sheetData>
  <mergeCells count="11">
    <mergeCell ref="E1:F1"/>
    <mergeCell ref="A1:C1"/>
    <mergeCell ref="E29:F29"/>
    <mergeCell ref="E30:F30"/>
    <mergeCell ref="E31:F31"/>
    <mergeCell ref="E32:F32"/>
    <mergeCell ref="E23:F23"/>
    <mergeCell ref="E12:F12"/>
    <mergeCell ref="A12:C12"/>
    <mergeCell ref="F24:F26"/>
    <mergeCell ref="E24:E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hợp điểm</vt:lpstr>
      <vt:lpstr>ĐIểm thực hành các buổi</vt:lpstr>
      <vt:lpstr>Điểm bài tập lớn</vt:lpstr>
      <vt:lpstr>Điểm lý thuyết</vt:lpstr>
      <vt:lpstr>Các bảng tham chiếu &amp; Thống kê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ducnhan384@gmail.com</dc:creator>
  <cp:keywords/>
  <dc:description/>
  <cp:lastModifiedBy>Đủm Trần</cp:lastModifiedBy>
  <cp:revision/>
  <dcterms:created xsi:type="dcterms:W3CDTF">2026-02-03T13:02:15Z</dcterms:created>
  <dcterms:modified xsi:type="dcterms:W3CDTF">2026-02-04T06:01:52Z</dcterms:modified>
  <cp:category/>
  <cp:contentStatus/>
</cp:coreProperties>
</file>